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loud Model from Part A" sheetId="2" state="visible" r:id="rId2"/>
    <sheet name="Unit Economics" sheetId="3" state="visible" r:id="rId3"/>
    <sheet name="5-Year P&amp;L" sheetId="4" state="visible" r:id="rId4"/>
    <sheet name="Breakeven Sensitivity" sheetId="5" state="visible" r:id="rId5"/>
    <sheet name="Investor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#,##0.00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2"/>
    </font>
    <font>
      <b val="1"/>
      <sz val="11"/>
    </font>
    <font>
      <i val="1"/>
      <color rgb="0070AD47"/>
    </font>
    <font>
      <b val="1"/>
      <sz val="13"/>
    </font>
    <font>
      <b val="1"/>
      <sz val="14"/>
    </font>
    <font>
      <i val="1"/>
      <sz val="10"/>
    </font>
    <font>
      <sz val="9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164" fontId="0" fillId="3" borderId="1" pivotButton="0" quotePrefix="0" xfId="0"/>
    <xf numFmtId="3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9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1" pivotButton="0" quotePrefix="0" xfId="0"/>
    <xf numFmtId="0" fontId="8" fillId="0" borderId="0" pivotButton="0" quotePrefix="0" xfId="0"/>
    <xf numFmtId="3" fontId="1" fillId="2" borderId="1" applyAlignment="1" pivotButton="0" quotePrefix="0" xfId="0">
      <alignment horizontal="center" wrapText="1"/>
    </xf>
    <xf numFmtId="3" fontId="0" fillId="0" borderId="1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5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 / Notes</t>
        </is>
      </c>
    </row>
    <row r="2">
      <c r="A2" s="2" t="inlineStr">
        <is>
          <t>STATION ECONOMICS</t>
        </is>
      </c>
    </row>
    <row r="3">
      <c r="A3" s="3" t="inlineStr">
        <is>
          <t>CapEx per Station</t>
        </is>
      </c>
      <c r="B3" s="4" t="n">
        <v>200000</v>
      </c>
      <c r="C3" t="inlineStr">
        <is>
          <t>USD</t>
        </is>
      </c>
      <c r="D3" t="inlineStr">
        <is>
          <t>Midpoint BoM — telescope $39K, mount $14K, DM $40K, rest</t>
        </is>
      </c>
    </row>
    <row r="4">
      <c r="A4" s="3" t="inlineStr">
        <is>
          <t>OpEx per Station per Year</t>
        </is>
      </c>
      <c r="B4" s="4" t="n">
        <v>50000</v>
      </c>
      <c r="C4" t="inlineStr">
        <is>
          <t>USD</t>
        </is>
      </c>
      <c r="D4" t="inlineStr">
        <is>
          <t>Power $4K, lease $3.5K, fiber $9K, maint $7K, person $18K, etc.</t>
        </is>
      </c>
    </row>
    <row r="5">
      <c r="A5" s="3" t="inlineStr">
        <is>
          <t>CapEx Amortization Period</t>
        </is>
      </c>
      <c r="B5" s="5" t="n">
        <v>5</v>
      </c>
      <c r="C5" t="inlineStr">
        <is>
          <t>years</t>
        </is>
      </c>
      <c r="D5" t="inlineStr">
        <is>
          <t>Straight-line</t>
        </is>
      </c>
    </row>
    <row r="6">
      <c r="A6" s="2" t="inlineStr">
        <is>
          <t>DEPLOYMENT SCHEDULE</t>
        </is>
      </c>
    </row>
    <row r="7">
      <c r="A7" s="3" t="inlineStr">
        <is>
          <t>Stations Deployed Year 1</t>
        </is>
      </c>
      <c r="B7" s="5" t="n">
        <v>1</v>
      </c>
      <c r="C7" t="inlineStr">
        <is>
          <t>stations</t>
        </is>
      </c>
      <c r="D7" t="inlineStr">
        <is>
          <t>Challakere: home ground deployment</t>
        </is>
      </c>
    </row>
    <row r="8">
      <c r="A8" s="3" t="inlineStr">
        <is>
          <t>Stations Deployed Year 2</t>
        </is>
      </c>
      <c r="B8" s="5" t="n">
        <v>2</v>
      </c>
      <c r="C8" t="inlineStr">
        <is>
          <t>stations</t>
        </is>
      </c>
      <c r="D8" t="inlineStr">
        <is>
          <t>Leh + Jodhpur: desert + high-altitude</t>
        </is>
      </c>
    </row>
    <row r="9">
      <c r="A9" s="3" t="inlineStr">
        <is>
          <t>Stations Deployed Years 3-5</t>
        </is>
      </c>
      <c r="B9" s="5" t="n">
        <v>2</v>
      </c>
      <c r="C9" t="inlineStr">
        <is>
          <t>stations</t>
        </is>
      </c>
      <c r="D9" t="inlineStr">
        <is>
          <t>Sriharikota + Shillong: coastal + NE</t>
        </is>
      </c>
    </row>
    <row r="10">
      <c r="A10" s="2" t="inlineStr">
        <is>
          <t>REVENUE (bottoms-up customer model)</t>
        </is>
      </c>
    </row>
    <row r="11">
      <c r="A11" s="3" t="inlineStr">
        <is>
          <t>OGS Customers Year 1</t>
        </is>
      </c>
      <c r="B11" s="5" t="n">
        <v>0</v>
      </c>
      <c r="C11" t="inlineStr">
        <is>
          <t>customers</t>
        </is>
      </c>
      <c r="D11" t="inlineStr">
        <is>
          <t>Still building/demoing first satellite downlink</t>
        </is>
      </c>
    </row>
    <row r="12">
      <c r="A12" s="3" t="inlineStr">
        <is>
          <t>OGS Customers Year 2</t>
        </is>
      </c>
      <c r="B12" s="5" t="n">
        <v>1</v>
      </c>
      <c r="C12" t="inlineStr">
        <is>
          <t>customers</t>
        </is>
      </c>
      <c r="D12" t="inlineStr">
        <is>
          <t>1 pilot customer (e.g., Pixxel test downlink)</t>
        </is>
      </c>
    </row>
    <row r="13">
      <c r="A13" s="3" t="inlineStr">
        <is>
          <t>OGS Customers Year 3</t>
        </is>
      </c>
      <c r="B13" s="5" t="n">
        <v>3</v>
      </c>
      <c r="C13" t="inlineStr">
        <is>
          <t>customers</t>
        </is>
      </c>
      <c r="D13" t="inlineStr">
        <is>
          <t>2-3 early adopter satellite operators</t>
        </is>
      </c>
    </row>
    <row r="14">
      <c r="A14" s="3" t="inlineStr">
        <is>
          <t>OGS Customers Year 4</t>
        </is>
      </c>
      <c r="B14" s="5" t="n">
        <v>5</v>
      </c>
      <c r="C14" t="inlineStr">
        <is>
          <t>customers</t>
        </is>
      </c>
      <c r="D14" t="inlineStr">
        <is>
          <t>Growing commercial adoption</t>
        </is>
      </c>
    </row>
    <row r="15">
      <c r="A15" s="3" t="inlineStr">
        <is>
          <t>OGS Customers Year 5</t>
        </is>
      </c>
      <c r="B15" s="5" t="n">
        <v>8</v>
      </c>
      <c r="C15" t="inlineStr">
        <is>
          <t>customers</t>
        </is>
      </c>
      <c r="D15" t="inlineStr">
        <is>
          <t>Expanding customer base</t>
        </is>
      </c>
    </row>
    <row r="16">
      <c r="A16" s="3" t="inlineStr">
        <is>
          <t>ARPU (Annual Revenue per Customer)</t>
        </is>
      </c>
      <c r="B16" s="4" t="n">
        <v>150000</v>
      </c>
      <c r="C16" t="inlineStr">
        <is>
          <t>USD/yr</t>
        </is>
      </c>
      <c r="D16" t="inlineStr">
        <is>
          <t>~$12.5K/mo per customer = ~11% of station capacity at $1/GB</t>
        </is>
      </c>
    </row>
    <row r="17">
      <c r="A17" s="3" t="inlineStr">
        <is>
          <t>Data Price per GB</t>
        </is>
      </c>
      <c r="B17" s="4" t="n">
        <v>1</v>
      </c>
      <c r="C17" t="inlineStr">
        <is>
          <t>USD</t>
        </is>
      </c>
      <c r="D17" t="inlineStr">
        <is>
          <t>Qosmic pricing; competitive vs RF $3-17/GB</t>
        </is>
      </c>
    </row>
    <row r="18">
      <c r="A18" s="3" t="inlineStr">
        <is>
          <t>GB per Pass</t>
        </is>
      </c>
      <c r="B18" s="5" t="n">
        <v>750</v>
      </c>
      <c r="C18" t="inlineStr">
        <is>
          <t>GB</t>
        </is>
      </c>
      <c r="D18" t="inlineStr">
        <is>
          <t>10 Gbps x 10 min x 60s / 8 bits</t>
        </is>
      </c>
    </row>
    <row r="19">
      <c r="A19" s="3" t="inlineStr">
        <is>
          <t>Passes per Day per Station</t>
        </is>
      </c>
      <c r="B19" s="5" t="n">
        <v>5</v>
      </c>
      <c r="C19" t="inlineStr">
        <is>
          <t>passes</t>
        </is>
      </c>
      <c r="D19" t="inlineStr">
        <is>
          <t>LEO 500km: typical 5 passes/day ~10 min each</t>
        </is>
      </c>
    </row>
    <row r="20">
      <c r="A20" s="2" t="inlineStr">
        <is>
          <t>CLOUD MODEL (FROM PART A)</t>
        </is>
      </c>
    </row>
    <row r="21">
      <c r="A21" s="3" t="inlineStr">
        <is>
          <t>Cloud Avail (5 stations)</t>
        </is>
      </c>
      <c r="B21" s="6" t="n">
        <v>0.995</v>
      </c>
      <c r="C21" t="inlineStr">
        <is>
          <t>fraction</t>
        </is>
      </c>
      <c r="D21" t="inlineStr">
        <is>
          <t>Part A: 5 stations &gt;99% clear-sky availability</t>
        </is>
      </c>
    </row>
    <row r="22">
      <c r="A22" s="3" t="inlineStr">
        <is>
          <t>Cloud Avail (1 station)</t>
        </is>
      </c>
      <c r="B22" s="6" t="n">
        <v>0.46</v>
      </c>
      <c r="C22" t="inlineStr">
        <is>
          <t>fraction</t>
        </is>
      </c>
      <c r="D22" t="inlineStr">
        <is>
          <t>Part A: Challakere alone = 46%</t>
        </is>
      </c>
    </row>
    <row r="23">
      <c r="A23" s="2" t="inlineStr">
        <is>
          <t>HARDWARE SALES</t>
        </is>
      </c>
    </row>
    <row r="24">
      <c r="A24" s="3" t="inlineStr">
        <is>
          <t>HW Units Year 3</t>
        </is>
      </c>
      <c r="B24" s="5" t="n">
        <v>0</v>
      </c>
      <c r="C24" t="inlineStr">
        <is>
          <t>units</t>
        </is>
      </c>
      <c r="D24" t="inlineStr">
        <is>
          <t>No sales yet — need proven track record</t>
        </is>
      </c>
    </row>
    <row r="25">
      <c r="A25" s="3" t="inlineStr">
        <is>
          <t>HW Units Year 4</t>
        </is>
      </c>
      <c r="B25" s="5" t="n">
        <v>1</v>
      </c>
      <c r="C25" t="inlineStr">
        <is>
          <t>units</t>
        </is>
      </c>
      <c r="D25" t="inlineStr">
        <is>
          <t>First turnkey sale (govt/research customer)</t>
        </is>
      </c>
    </row>
    <row r="26">
      <c r="A26" s="3" t="inlineStr">
        <is>
          <t>HW Units Year 5</t>
        </is>
      </c>
      <c r="B26" s="5" t="n">
        <v>2</v>
      </c>
      <c r="C26" t="inlineStr">
        <is>
          <t>units</t>
        </is>
      </c>
      <c r="D26" t="inlineStr">
        <is>
          <t>Growing interest; 2 stations</t>
        </is>
      </c>
    </row>
    <row r="27">
      <c r="A27" s="3" t="inlineStr">
        <is>
          <t>Hardware Price per Unit</t>
        </is>
      </c>
      <c r="B27" s="4" t="n">
        <v>350000</v>
      </c>
      <c r="C27" t="inlineStr">
        <is>
          <t>USD</t>
        </is>
      </c>
      <c r="D27" t="inlineStr">
        <is>
          <t>Standard 50cm OGS at ~1.75x BoM</t>
        </is>
      </c>
    </row>
    <row r="28">
      <c r="A28" s="2" t="inlineStr">
        <is>
          <t>NQM / GOVT CONTRACTS</t>
        </is>
      </c>
    </row>
    <row r="29">
      <c r="A29" s="3" t="inlineStr">
        <is>
          <t>NQM Year 1</t>
        </is>
      </c>
      <c r="B29" s="4" t="n">
        <v>200000</v>
      </c>
      <c r="C29" t="inlineStr">
        <is>
          <t>USD</t>
        </is>
      </c>
      <c r="D29" t="inlineStr">
        <is>
          <t>Phase 1 PoC contract</t>
        </is>
      </c>
    </row>
    <row r="30">
      <c r="A30" s="3" t="inlineStr">
        <is>
          <t>NQM Year 2</t>
        </is>
      </c>
      <c r="B30" s="4" t="n">
        <v>400000</v>
      </c>
      <c r="C30" t="inlineStr">
        <is>
          <t>USD</t>
        </is>
      </c>
      <c r="D30" t="inlineStr">
        <is>
          <t>Phase 1 delivery + milestone</t>
        </is>
      </c>
    </row>
    <row r="31">
      <c r="A31" s="3" t="inlineStr">
        <is>
          <t>NQM Year 3</t>
        </is>
      </c>
      <c r="B31" s="4" t="n">
        <v>600000</v>
      </c>
      <c r="C31" t="inlineStr">
        <is>
          <t>USD</t>
        </is>
      </c>
      <c r="D31" t="inlineStr">
        <is>
          <t>Phase 2 demonstration</t>
        </is>
      </c>
    </row>
    <row r="32">
      <c r="A32" s="3" t="inlineStr">
        <is>
          <t>NQM Year 4</t>
        </is>
      </c>
      <c r="B32" s="4" t="n">
        <v>250000</v>
      </c>
      <c r="C32" t="inlineStr">
        <is>
          <t>USD</t>
        </is>
      </c>
      <c r="D32" t="inlineStr">
        <is>
          <t>Maintenance/support contract</t>
        </is>
      </c>
    </row>
    <row r="33">
      <c r="A33" s="3" t="inlineStr">
        <is>
          <t>NQM Year 5</t>
        </is>
      </c>
      <c r="B33" s="4" t="n">
        <v>150000</v>
      </c>
      <c r="C33" t="inlineStr">
        <is>
          <t>USD</t>
        </is>
      </c>
      <c r="D33" t="inlineStr">
        <is>
          <t>Consulting / extension</t>
        </is>
      </c>
    </row>
    <row r="34">
      <c r="A34" s="2" t="inlineStr">
        <is>
          <t>PARTNER NETWORK (stations.qosmic.space)</t>
        </is>
      </c>
    </row>
    <row r="35">
      <c r="A35" s="3" t="inlineStr">
        <is>
          <t>Partner Stations Year 1</t>
        </is>
      </c>
      <c r="B35" s="5" t="n">
        <v>10</v>
      </c>
      <c r="C35" t="inlineStr">
        <is>
          <t>stations</t>
        </is>
      </c>
      <c r="D35" t="inlineStr">
        <is>
          <t>Existing: NASA JPL, ESA, DLR, Aus, Japan, UAE, Norway etc.</t>
        </is>
      </c>
    </row>
    <row r="36">
      <c r="A36" s="3" t="inlineStr">
        <is>
          <t>Partner Stations Year 2</t>
        </is>
      </c>
      <c r="B36" s="5" t="n">
        <v>12</v>
      </c>
      <c r="C36" t="inlineStr">
        <is>
          <t>stations</t>
        </is>
      </c>
      <c r="D36" t="inlineStr">
        <is>
          <t>+2 new partner agreements signed</t>
        </is>
      </c>
    </row>
    <row r="37">
      <c r="A37" s="3" t="inlineStr">
        <is>
          <t>Partner Stations Year 3</t>
        </is>
      </c>
      <c r="B37" s="5" t="n">
        <v>15</v>
      </c>
      <c r="C37" t="inlineStr">
        <is>
          <t>stations</t>
        </is>
      </c>
      <c r="D37" t="inlineStr">
        <is>
          <t>+3: expanding into Asia-Pacific</t>
        </is>
      </c>
    </row>
    <row r="38">
      <c r="A38" s="3" t="inlineStr">
        <is>
          <t>Partner Stations Year 4</t>
        </is>
      </c>
      <c r="B38" s="5" t="n">
        <v>18</v>
      </c>
      <c r="C38" t="inlineStr">
        <is>
          <t>stations</t>
        </is>
      </c>
      <c r="D38" t="inlineStr">
        <is>
          <t>+3: Middle East + Africa</t>
        </is>
      </c>
    </row>
    <row r="39">
      <c r="A39" s="3" t="inlineStr">
        <is>
          <t>Partner Stations Year 5</t>
        </is>
      </c>
      <c r="B39" s="5" t="n">
        <v>20</v>
      </c>
      <c r="C39" t="inlineStr">
        <is>
          <t>stations</t>
        </is>
      </c>
      <c r="D39" t="inlineStr">
        <is>
          <t>+2: total 20+ global stations</t>
        </is>
      </c>
    </row>
    <row r="40">
      <c r="A40" s="3" t="inlineStr">
        <is>
          <t>Partner Passes per Day per Station</t>
        </is>
      </c>
      <c r="B40" s="5" t="n">
        <v>5</v>
      </c>
      <c r="C40" t="inlineStr">
        <is>
          <t>passes</t>
        </is>
      </c>
      <c r="D40" t="inlineStr">
        <is>
          <t>Same orbit geometry as owned stations</t>
        </is>
      </c>
    </row>
    <row r="41">
      <c r="A41" s="3" t="inlineStr">
        <is>
          <t>Partner GB per Pass</t>
        </is>
      </c>
      <c r="B41" s="5" t="n">
        <v>750</v>
      </c>
      <c r="C41" t="inlineStr">
        <is>
          <t>GB</t>
        </is>
      </c>
      <c r="D41" t="inlineStr">
        <is>
          <t>10 Gbps x 10 min, same as owned stations</t>
        </is>
      </c>
    </row>
    <row r="42">
      <c r="A42" s="3" t="inlineStr">
        <is>
          <t>Partner Utilization Year 1</t>
        </is>
      </c>
      <c r="B42" s="6" t="n">
        <v>0.05</v>
      </c>
      <c r="C42" t="inlineStr">
        <is>
          <t>fraction</t>
        </is>
      </c>
      <c r="D42" t="inlineStr">
        <is>
          <t>Platform launch year, building booking volume</t>
        </is>
      </c>
    </row>
    <row r="43">
      <c r="A43" s="3" t="inlineStr">
        <is>
          <t>Partner Utilization Year 2</t>
        </is>
      </c>
      <c r="B43" s="6" t="n">
        <v>0.07000000000000001</v>
      </c>
      <c r="C43" t="inlineStr">
        <is>
          <t>fraction</t>
        </is>
      </c>
      <c r="D43" t="inlineStr">
        <is>
          <t>Growing awareness among satellite operators</t>
        </is>
      </c>
    </row>
    <row r="44">
      <c r="A44" s="3" t="inlineStr">
        <is>
          <t>Partner Utilization Year 3</t>
        </is>
      </c>
      <c r="B44" s="6" t="n">
        <v>0.1</v>
      </c>
      <c r="C44" t="inlineStr">
        <is>
          <t>fraction</t>
        </is>
      </c>
      <c r="D44" t="inlineStr">
        <is>
          <t>Proven platform, network effects begin</t>
        </is>
      </c>
    </row>
    <row r="45">
      <c r="A45" s="3" t="inlineStr">
        <is>
          <t>Partner Utilization Year 4</t>
        </is>
      </c>
      <c r="B45" s="6" t="n">
        <v>0.12</v>
      </c>
      <c r="C45" t="inlineStr">
        <is>
          <t>fraction</t>
        </is>
      </c>
      <c r="D45" t="inlineStr">
        <is>
          <t>Established marketplace, repeat bookings</t>
        </is>
      </c>
    </row>
    <row r="46">
      <c r="A46" s="3" t="inlineStr">
        <is>
          <t>Partner Utilization Year 5</t>
        </is>
      </c>
      <c r="B46" s="6" t="n">
        <v>0.15</v>
      </c>
      <c r="C46" t="inlineStr">
        <is>
          <t>fraction</t>
        </is>
      </c>
      <c r="D46" t="inlineStr">
        <is>
          <t>Mature platform, 20+ partner stations</t>
        </is>
      </c>
    </row>
    <row r="47">
      <c r="A47" s="3" t="inlineStr">
        <is>
          <t>Partner Commission per GB</t>
        </is>
      </c>
      <c r="B47" s="7" t="n">
        <v>0.2</v>
      </c>
      <c r="C47" t="inlineStr">
        <is>
          <t>USD</t>
        </is>
      </c>
      <c r="D47" t="inlineStr">
        <is>
          <t>Qosmic spread on partner bookings</t>
        </is>
      </c>
    </row>
    <row r="48">
      <c r="A48" s="2" t="inlineStr">
        <is>
          <t>ZAPHOD TERMINAL (satellite optical terminal)</t>
        </is>
      </c>
    </row>
    <row r="49">
      <c r="A49" s="3" t="inlineStr">
        <is>
          <t>ZAPHOD Units Year 2</t>
        </is>
      </c>
      <c r="B49" s="5" t="n">
        <v>1</v>
      </c>
      <c r="C49" t="inlineStr">
        <is>
          <t>units</t>
        </is>
      </c>
      <c r="D49" t="inlineStr">
        <is>
          <t>TakeMe2Space integration (co-developer)</t>
        </is>
      </c>
    </row>
    <row r="50">
      <c r="A50" s="3" t="inlineStr">
        <is>
          <t>ZAPHOD Units Year 3</t>
        </is>
      </c>
      <c r="B50" s="5" t="n">
        <v>2</v>
      </c>
      <c r="C50" t="inlineStr">
        <is>
          <t>units</t>
        </is>
      </c>
      <c r="D50" t="inlineStr">
        <is>
          <t>Early adopter CubeSat operators</t>
        </is>
      </c>
    </row>
    <row r="51">
      <c r="A51" s="3" t="inlineStr">
        <is>
          <t>ZAPHOD Units Year 4</t>
        </is>
      </c>
      <c r="B51" s="5" t="n">
        <v>3</v>
      </c>
      <c r="C51" t="inlineStr">
        <is>
          <t>units</t>
        </is>
      </c>
      <c r="D51" t="inlineStr">
        <is>
          <t>Growing commercial sales to LEO operators</t>
        </is>
      </c>
    </row>
    <row r="52">
      <c r="A52" s="3" t="inlineStr">
        <is>
          <t>ZAPHOD Units Year 5</t>
        </is>
      </c>
      <c r="B52" s="5" t="n">
        <v>5</v>
      </c>
      <c r="C52" t="inlineStr">
        <is>
          <t>units</t>
        </is>
      </c>
      <c r="D52" t="inlineStr">
        <is>
          <t>Scaled production; multiple constellation customers</t>
        </is>
      </c>
    </row>
    <row r="53">
      <c r="A53" s="3" t="inlineStr">
        <is>
          <t>ZAPHOD Price per Unit</t>
        </is>
      </c>
      <c r="B53" s="4" t="n">
        <v>75000</v>
      </c>
      <c r="C53" t="inlineStr">
        <is>
          <t>USD</t>
        </is>
      </c>
      <c r="D53" t="inlineStr">
        <is>
          <t>CubeSat-class &lt;3 kg; co-developed with TakeMe2Space</t>
        </is>
      </c>
    </row>
    <row r="54">
      <c r="A54" s="2" t="inlineStr">
        <is>
          <t>PLATFORM &amp; INFRASTRUCTURE</t>
        </is>
      </c>
    </row>
    <row r="55">
      <c r="A55" s="3" t="inlineStr">
        <is>
          <t>AWS Monthly Cost Year 1</t>
        </is>
      </c>
      <c r="B55" s="4" t="n">
        <v>1500</v>
      </c>
      <c r="C55" t="inlineStr">
        <is>
          <t>USD/mo</t>
        </is>
      </c>
      <c r="D55" t="inlineStr">
        <is>
          <t>Basic dashboard, few API calls, limited users</t>
        </is>
      </c>
    </row>
    <row r="56">
      <c r="A56" s="3" t="inlineStr">
        <is>
          <t>AWS Monthly Cost Year 2</t>
        </is>
      </c>
      <c r="B56" s="4" t="n">
        <v>2000</v>
      </c>
      <c r="C56" t="inlineStr">
        <is>
          <t>USD/mo</t>
        </is>
      </c>
      <c r="D56" t="inlineStr">
        <is>
          <t>More partner stations integrated, growing traffic</t>
        </is>
      </c>
    </row>
    <row r="57">
      <c r="A57" s="3" t="inlineStr">
        <is>
          <t>AWS Monthly Cost Year 3</t>
        </is>
      </c>
      <c r="B57" s="4" t="n">
        <v>3000</v>
      </c>
      <c r="C57" t="inlineStr">
        <is>
          <t>USD/mo</t>
        </is>
      </c>
      <c r="D57" t="inlineStr">
        <is>
          <t>Predictive scheduling, analytics, 3D globe</t>
        </is>
      </c>
    </row>
    <row r="58">
      <c r="A58" s="3" t="inlineStr">
        <is>
          <t>AWS Monthly Cost Year 4</t>
        </is>
      </c>
      <c r="B58" s="4" t="n">
        <v>4000</v>
      </c>
      <c r="C58" t="inlineStr">
        <is>
          <t>USD/mo</t>
        </is>
      </c>
      <c r="D58" t="inlineStr">
        <is>
          <t>AI features, more partners, higher throughput</t>
        </is>
      </c>
    </row>
    <row r="59">
      <c r="A59" s="3" t="inlineStr">
        <is>
          <t>AWS Monthly Cost Year 5</t>
        </is>
      </c>
      <c r="B59" s="4" t="n">
        <v>5000</v>
      </c>
      <c r="C59" t="inlineStr">
        <is>
          <t>USD/mo</t>
        </is>
      </c>
      <c r="D59" t="inlineStr">
        <is>
          <t>Full platform, global traffic, 20+ partners</t>
        </is>
      </c>
    </row>
    <row r="60">
      <c r="A60" s="2" t="inlineStr">
        <is>
          <t>HEADCOUNT &amp; OVERHEAD</t>
        </is>
      </c>
    </row>
    <row r="61">
      <c r="A61" s="3" t="inlineStr">
        <is>
          <t>Headcount Year 1</t>
        </is>
      </c>
      <c r="B61" s="5" t="n">
        <v>8</v>
      </c>
      <c r="C61" t="inlineStr">
        <is>
          <t>FTE</t>
        </is>
      </c>
      <c r="D61" t="inlineStr">
        <is>
          <t>Current Qosmic team: founders + engineers</t>
        </is>
      </c>
    </row>
    <row r="62">
      <c r="A62" s="3" t="inlineStr">
        <is>
          <t>Headcount Year 2</t>
        </is>
      </c>
      <c r="B62" s="5" t="n">
        <v>10</v>
      </c>
      <c r="C62" t="inlineStr">
        <is>
          <t>FTE</t>
        </is>
      </c>
      <c r="D62" t="inlineStr">
        <is>
          <t>+2 hires (engineering + BD)</t>
        </is>
      </c>
    </row>
    <row r="63">
      <c r="A63" s="3" t="inlineStr">
        <is>
          <t>Headcount Year 3</t>
        </is>
      </c>
      <c r="B63" s="5" t="n">
        <v>13</v>
      </c>
      <c r="C63" t="inlineStr">
        <is>
          <t>FTE</t>
        </is>
      </c>
      <c r="D63" t="inlineStr">
        <is>
          <t>+3 hires (engineering + operations)</t>
        </is>
      </c>
    </row>
    <row r="64">
      <c r="A64" s="3" t="inlineStr">
        <is>
          <t>Headcount Year 4</t>
        </is>
      </c>
      <c r="B64" s="5" t="n">
        <v>13</v>
      </c>
      <c r="C64" t="inlineStr">
        <is>
          <t>FTE</t>
        </is>
      </c>
      <c r="D64" t="inlineStr">
        <is>
          <t>2 resigned + 2 hired (churn modeled)</t>
        </is>
      </c>
    </row>
    <row r="65">
      <c r="A65" s="3" t="inlineStr">
        <is>
          <t>Headcount Year 5</t>
        </is>
      </c>
      <c r="B65" s="5" t="n">
        <v>15</v>
      </c>
      <c r="C65" t="inlineStr">
        <is>
          <t>FTE</t>
        </is>
      </c>
      <c r="D65" t="inlineStr">
        <is>
          <t>Full team across engineering, ops, sales</t>
        </is>
      </c>
    </row>
    <row r="66">
      <c r="A66" s="3" t="inlineStr">
        <is>
          <t>Avg Salary (India)</t>
        </is>
      </c>
      <c r="B66" s="4" t="n">
        <v>30000</v>
      </c>
      <c r="C66" t="inlineStr">
        <is>
          <t>USD/yr</t>
        </is>
      </c>
      <c r="D66" t="inlineStr">
        <is>
          <t>Blended: senior ~$40-50K, junior ~$15-20K</t>
        </is>
      </c>
    </row>
    <row r="67">
      <c r="A67" s="3" t="inlineStr">
        <is>
          <t>Corporate Overhead Year 1</t>
        </is>
      </c>
      <c r="B67" s="4" t="n">
        <v>50000</v>
      </c>
      <c r="C67" t="inlineStr">
        <is>
          <t>USD/yr</t>
        </is>
      </c>
      <c r="D67" t="inlineStr">
        <is>
          <t>8 people: coworking + legal + insurance</t>
        </is>
      </c>
    </row>
    <row r="68">
      <c r="A68" s="3" t="inlineStr">
        <is>
          <t>Corporate Overhead Year 2</t>
        </is>
      </c>
      <c r="B68" s="4" t="n">
        <v>62500</v>
      </c>
      <c r="C68" t="inlineStr">
        <is>
          <t>USD/yr</t>
        </is>
      </c>
      <c r="D68" t="inlineStr">
        <is>
          <t>10 people: scales linearly w/ headcount</t>
        </is>
      </c>
    </row>
    <row r="69">
      <c r="A69" s="3" t="inlineStr">
        <is>
          <t>Corporate Overhead Year 3</t>
        </is>
      </c>
      <c r="B69" s="4" t="n">
        <v>81250</v>
      </c>
      <c r="C69" t="inlineStr">
        <is>
          <t>USD/yr</t>
        </is>
      </c>
      <c r="D69" t="inlineStr">
        <is>
          <t>13 people</t>
        </is>
      </c>
    </row>
    <row r="70">
      <c r="A70" s="3" t="inlineStr">
        <is>
          <t>Corporate Overhead Year 4</t>
        </is>
      </c>
      <c r="B70" s="4" t="n">
        <v>81250</v>
      </c>
      <c r="C70" t="inlineStr">
        <is>
          <t>USD/yr</t>
        </is>
      </c>
      <c r="D70" t="inlineStr">
        <is>
          <t>13 people (churn offset)</t>
        </is>
      </c>
    </row>
    <row r="71">
      <c r="A71" s="3" t="inlineStr">
        <is>
          <t>Corporate Overhead Year 5</t>
        </is>
      </c>
      <c r="B71" s="4" t="n">
        <v>93750</v>
      </c>
      <c r="C71" t="inlineStr">
        <is>
          <t>USD/yr</t>
        </is>
      </c>
      <c r="D71" t="inlineStr">
        <is>
          <t>15 people</t>
        </is>
      </c>
    </row>
    <row r="72">
      <c r="A72" s="2" t="inlineStr">
        <is>
          <t>SEED STAGE</t>
        </is>
      </c>
    </row>
    <row r="73">
      <c r="A73" s="3" t="inlineStr">
        <is>
          <t>Seed Round</t>
        </is>
      </c>
      <c r="B73" s="4" t="n">
        <v>1000000</v>
      </c>
      <c r="C73" t="inlineStr">
        <is>
          <t>USD</t>
        </is>
      </c>
      <c r="D73" t="inlineStr">
        <is>
          <t>Per interview doc</t>
        </is>
      </c>
    </row>
    <row r="74">
      <c r="A74" s="3" t="inlineStr">
        <is>
          <t>Monthly Burn Year 1</t>
        </is>
      </c>
      <c r="B74" s="4" t="n">
        <v>150000</v>
      </c>
      <c r="C74" t="inlineStr">
        <is>
          <t>USD/mo</t>
        </is>
      </c>
      <c r="D74" t="inlineStr">
        <is>
          <t>Total cash spend incl. one-time setup, BD, working capital buffer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Station</t>
        </is>
      </c>
      <c r="B1" s="1" t="inlineStr">
        <is>
          <t>P_clear</t>
        </is>
      </c>
      <c r="C1" s="1" t="inlineStr">
        <is>
          <t>Clear Days/Yr</t>
        </is>
      </c>
      <c r="D1" s="1" t="inlineStr">
        <is>
          <t>Notes</t>
        </is>
      </c>
    </row>
    <row r="2">
      <c r="A2" t="inlineStr">
        <is>
          <t>Leh</t>
        </is>
      </c>
      <c r="B2" s="8" t="n">
        <v>0.74</v>
      </c>
      <c r="C2" t="n">
        <v>270</v>
      </c>
      <c r="D2" t="inlineStr">
        <is>
          <t>Winter dip 39%</t>
        </is>
      </c>
    </row>
    <row r="3">
      <c r="A3" t="inlineStr">
        <is>
          <t>Jodhpur</t>
        </is>
      </c>
      <c r="B3" s="8" t="n">
        <v>0.78</v>
      </c>
      <c r="C3" t="n">
        <v>285</v>
      </c>
      <c r="D3" t="inlineStr">
        <is>
          <t>Monsoon dip 50%</t>
        </is>
      </c>
    </row>
    <row r="4">
      <c r="A4" t="inlineStr">
        <is>
          <t>Challakere</t>
        </is>
      </c>
      <c r="B4" s="8" t="n">
        <v>0.46</v>
      </c>
      <c r="C4" t="n">
        <v>168</v>
      </c>
      <c r="D4" t="inlineStr">
        <is>
          <t>Jul dip 8%</t>
        </is>
      </c>
    </row>
    <row r="5">
      <c r="A5" t="inlineStr">
        <is>
          <t>Sriharikota</t>
        </is>
      </c>
      <c r="B5" s="8" t="n">
        <v>0.57</v>
      </c>
      <c r="C5" t="n">
        <v>208</v>
      </c>
      <c r="D5" t="inlineStr">
        <is>
          <t>Coastal monsoon</t>
        </is>
      </c>
    </row>
    <row r="6">
      <c r="A6" t="inlineStr">
        <is>
          <t>Shillong</t>
        </is>
      </c>
      <c r="B6" s="8" t="n">
        <v>0.51</v>
      </c>
      <c r="C6" t="n">
        <v>186</v>
      </c>
      <c r="D6" t="inlineStr">
        <is>
          <t>Heavy monsoon Jun-Sep; Feb 87% clear</t>
        </is>
      </c>
    </row>
    <row r="9">
      <c r="A9" s="3" t="inlineStr">
        <is>
          <t>Network Availability</t>
        </is>
      </c>
    </row>
    <row r="10">
      <c r="A10" t="inlineStr">
        <is>
          <t>1 station</t>
        </is>
      </c>
      <c r="B10" s="9">
        <f>B4</f>
        <v/>
      </c>
    </row>
    <row r="11">
      <c r="A11" t="inlineStr">
        <is>
          <t>2 stations</t>
        </is>
      </c>
      <c r="B11" s="9">
        <f>1-(1-B2)*(1-B3)</f>
        <v/>
      </c>
    </row>
    <row r="12">
      <c r="A12" t="inlineStr">
        <is>
          <t>3 stations</t>
        </is>
      </c>
      <c r="B12" s="9">
        <f>1-(1-B2)*(1-B3)*(1-B4)</f>
        <v/>
      </c>
    </row>
    <row r="13">
      <c r="A13" t="inlineStr">
        <is>
          <t>5 stations</t>
        </is>
      </c>
      <c r="B13" s="9">
        <f>1-(1-B2)*(1-B3)*(1-B4)*(1-B5)*(1-B6)</f>
        <v/>
      </c>
    </row>
    <row r="15">
      <c r="A15" s="10" t="inlineStr">
        <is>
          <t>Integration: 5-station result feeds Assumptions B20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0" customWidth="1" min="5" max="5"/>
  </cols>
  <sheetData>
    <row r="1">
      <c r="A1" s="11" t="inlineStr">
        <is>
          <t>CapEx per Station</t>
        </is>
      </c>
    </row>
    <row r="2">
      <c r="A2" s="1" t="inlineStr">
        <is>
          <t>Component</t>
        </is>
      </c>
      <c r="B2" s="1" t="inlineStr">
        <is>
          <t>Low</t>
        </is>
      </c>
      <c r="C2" s="1" t="inlineStr">
        <is>
          <t>High</t>
        </is>
      </c>
      <c r="D2" s="1" t="inlineStr">
        <is>
          <t>Midpoint</t>
        </is>
      </c>
      <c r="E2" s="1" t="inlineStr">
        <is>
          <t>Source</t>
        </is>
      </c>
    </row>
    <row r="3">
      <c r="A3" t="inlineStr">
        <is>
          <t>Telescope 50cm RC OTA</t>
        </is>
      </c>
      <c r="B3" s="12" t="n">
        <v>35000</v>
      </c>
      <c r="C3" s="12" t="n">
        <v>45000</v>
      </c>
      <c r="D3" s="13" t="n">
        <v>39000</v>
      </c>
      <c r="E3" t="inlineStr">
        <is>
          <t>PlaneWave CDK20</t>
        </is>
      </c>
    </row>
    <row r="4">
      <c r="A4" t="inlineStr">
        <is>
          <t>Tracking Mount (direct drive)</t>
        </is>
      </c>
      <c r="B4" s="12" t="n">
        <v>12000</v>
      </c>
      <c r="C4" s="12" t="n">
        <v>16000</v>
      </c>
      <c r="D4" s="13" t="n">
        <v>14000</v>
      </c>
      <c r="E4" t="inlineStr">
        <is>
          <t>ASA DDM85 Basic: $14K</t>
        </is>
      </c>
    </row>
    <row r="5">
      <c r="A5" t="inlineStr">
        <is>
          <t>Fast Steering Mirror</t>
        </is>
      </c>
      <c r="B5" s="12" t="n">
        <v>3000</v>
      </c>
      <c r="C5" s="12" t="n">
        <v>8000</v>
      </c>
      <c r="D5" s="13" t="n">
        <v>5500</v>
      </c>
      <c r="E5" t="inlineStr">
        <is>
          <t>Optotune/PI FSM</t>
        </is>
      </c>
    </row>
    <row r="6">
      <c r="A6" t="inlineStr">
        <is>
          <t>Deformable Mirror (20x20)</t>
        </is>
      </c>
      <c r="B6" s="12" t="n">
        <v>30000</v>
      </c>
      <c r="C6" s="12" t="n">
        <v>50000</v>
      </c>
      <c r="D6" s="13" t="n">
        <v>40000</v>
      </c>
      <c r="E6" t="inlineStr">
        <is>
          <t>BMC/ALPAO est.</t>
        </is>
      </c>
    </row>
    <row r="7">
      <c r="A7" t="inlineStr">
        <is>
          <t>Wavefront Sensor (SH)</t>
        </is>
      </c>
      <c r="B7" s="12" t="n">
        <v>4000</v>
      </c>
      <c r="C7" s="12" t="n">
        <v>7000</v>
      </c>
      <c r="D7" s="13" t="n">
        <v>5500</v>
      </c>
      <c r="E7" t="inlineStr">
        <is>
          <t>Thorlabs WFS31 €4,261</t>
        </is>
      </c>
    </row>
    <row r="8">
      <c r="A8" t="inlineStr">
        <is>
          <t>Fiber Coupling Optics</t>
        </is>
      </c>
      <c r="B8" s="12" t="n">
        <v>5000</v>
      </c>
      <c r="C8" s="12" t="n">
        <v>10000</v>
      </c>
      <c r="D8" s="13" t="n">
        <v>7500</v>
      </c>
      <c r="E8" t="inlineStr">
        <is>
          <t>Thorlabs FiberPorts</t>
        </is>
      </c>
    </row>
    <row r="9">
      <c r="A9" t="inlineStr">
        <is>
          <t>Receiver Electronics</t>
        </is>
      </c>
      <c r="B9" s="12" t="n">
        <v>5000</v>
      </c>
      <c r="C9" s="12" t="n">
        <v>10000</v>
      </c>
      <c r="D9" s="13" t="n">
        <v>7500</v>
      </c>
      <c r="E9" t="inlineStr">
        <is>
          <t>Discovery Semi 10G</t>
        </is>
      </c>
    </row>
    <row r="10">
      <c r="A10" t="inlineStr">
        <is>
          <t>Control Computer</t>
        </is>
      </c>
      <c r="B10" s="12" t="n">
        <v>5000</v>
      </c>
      <c r="C10" s="12" t="n">
        <v>8000</v>
      </c>
      <c r="D10" s="13" t="n">
        <v>6500</v>
      </c>
      <c r="E10" t="inlineStr">
        <is>
          <t>Industrial PC+FPGA</t>
        </is>
      </c>
    </row>
    <row r="11">
      <c r="A11" t="inlineStr">
        <is>
          <t>Control Software (amort.)</t>
        </is>
      </c>
      <c r="B11" s="12" t="n">
        <v>10000</v>
      </c>
      <c r="C11" s="12" t="n">
        <v>20000</v>
      </c>
      <c r="D11" s="13" t="n">
        <v>15000</v>
      </c>
      <c r="E11" t="inlineStr">
        <is>
          <t>Amortized dev</t>
        </is>
      </c>
    </row>
    <row r="12">
      <c r="A12" t="inlineStr">
        <is>
          <t>Site Preparation</t>
        </is>
      </c>
      <c r="B12" s="12" t="n">
        <v>15000</v>
      </c>
      <c r="C12" s="12" t="n">
        <v>20000</v>
      </c>
      <c r="D12" s="13" t="n">
        <v>17500</v>
      </c>
      <c r="E12" t="inlineStr">
        <is>
          <t>India civil works</t>
        </is>
      </c>
    </row>
    <row r="13">
      <c r="A13" t="inlineStr">
        <is>
          <t>Fiber Backhaul (last mile)</t>
        </is>
      </c>
      <c r="B13" s="12" t="n">
        <v>15000</v>
      </c>
      <c r="C13" s="12" t="n">
        <v>25000</v>
      </c>
      <c r="D13" s="13" t="n">
        <v>20000</v>
      </c>
      <c r="E13" t="inlineStr">
        <is>
          <t>BSNL fiber build</t>
        </is>
      </c>
    </row>
    <row r="14">
      <c r="A14" t="inlineStr">
        <is>
          <t>Integration &amp; Test</t>
        </is>
      </c>
      <c r="B14" s="12" t="n">
        <v>10000</v>
      </c>
      <c r="C14" s="12" t="n">
        <v>15000</v>
      </c>
      <c r="D14" s="13" t="n">
        <v>12500</v>
      </c>
      <c r="E14" t="inlineStr">
        <is>
          <t>Labor+equipment</t>
        </is>
      </c>
    </row>
    <row r="15">
      <c r="A15" s="3" t="inlineStr">
        <is>
          <t>Total CapEx</t>
        </is>
      </c>
      <c r="D15" s="12">
        <f>SUM(D3:D14)</f>
        <v/>
      </c>
    </row>
    <row r="17">
      <c r="A17" s="11" t="inlineStr">
        <is>
          <t>OpEx per Station per Year</t>
        </is>
      </c>
    </row>
    <row r="18">
      <c r="A18" s="1" t="inlineStr">
        <is>
          <t>Item</t>
        </is>
      </c>
      <c r="B18" s="1" t="inlineStr">
        <is>
          <t>Annual Cost</t>
        </is>
      </c>
      <c r="C18" s="1" t="inlineStr">
        <is>
          <t>Notes</t>
        </is>
      </c>
    </row>
    <row r="19">
      <c r="A19" t="inlineStr">
        <is>
          <t>Power (2-3kW)</t>
        </is>
      </c>
      <c r="B19" s="12" t="n">
        <v>4000</v>
      </c>
      <c r="C19" t="inlineStr">
        <is>
          <t>India $0.10-0.15/kWh</t>
        </is>
      </c>
    </row>
    <row r="20">
      <c r="A20" t="inlineStr">
        <is>
          <t>Site Lease</t>
        </is>
      </c>
      <c r="B20" s="12" t="n">
        <v>3500</v>
      </c>
      <c r="C20" t="inlineStr">
        <is>
          <t>Rural India</t>
        </is>
      </c>
    </row>
    <row r="21">
      <c r="A21" t="inlineStr">
        <is>
          <t>Fiber Backhaul (annual)</t>
        </is>
      </c>
      <c r="B21" s="12" t="n">
        <v>9000</v>
      </c>
      <c r="C21" t="inlineStr">
        <is>
          <t>BSNL ~₹50K/mo</t>
        </is>
      </c>
    </row>
    <row r="22">
      <c r="A22" t="inlineStr">
        <is>
          <t>Equipment Maintenance</t>
        </is>
      </c>
      <c r="B22" s="12" t="n">
        <v>7000</v>
      </c>
      <c r="C22" t="inlineStr">
        <is>
          <t>DM recalibration, recoating</t>
        </is>
      </c>
    </row>
    <row r="23">
      <c r="A23" t="inlineStr">
        <is>
          <t>Monitoring Personnel (shared)</t>
        </is>
      </c>
      <c r="B23" s="12" t="n">
        <v>18000</v>
      </c>
      <c r="C23" t="inlineStr">
        <is>
          <t>1 FTE shared 3-5 stations</t>
        </is>
      </c>
    </row>
    <row r="24">
      <c r="A24" t="inlineStr">
        <is>
          <t>Software Licenses</t>
        </is>
      </c>
      <c r="B24" s="12" t="n">
        <v>3500</v>
      </c>
      <c r="C24" t="inlineStr">
        <is>
          <t>OS, monitoring</t>
        </is>
      </c>
    </row>
    <row r="25">
      <c r="A25" t="inlineStr">
        <is>
          <t>Insurance</t>
        </is>
      </c>
      <c r="B25" s="12" t="n">
        <v>3500</v>
      </c>
      <c r="C25" t="inlineStr">
        <is>
          <t>Equipment+liability</t>
        </is>
      </c>
    </row>
    <row r="26">
      <c r="A26" t="inlineStr">
        <is>
          <t>Transport &amp; Logistics</t>
        </is>
      </c>
      <c r="B26" s="12" t="n">
        <v>4000</v>
      </c>
      <c r="C26" t="inlineStr">
        <is>
          <t>Site visits, spares</t>
        </is>
      </c>
    </row>
    <row r="27">
      <c r="A27" s="3" t="inlineStr">
        <is>
          <t>Total OpEx/Station/Year</t>
        </is>
      </c>
      <c r="B27" s="12">
        <f>SUM(B19:B26)</f>
        <v/>
      </c>
    </row>
    <row r="29">
      <c r="A29" s="3" t="inlineStr">
        <is>
          <t>Cost Structure at Maturity (5 stations)</t>
        </is>
      </c>
    </row>
    <row r="30">
      <c r="A30" t="inlineStr">
        <is>
          <t>Annual OpEx (5 stations)</t>
        </is>
      </c>
      <c r="B30" s="12">
        <f>5*Assumptions!B4</f>
        <v/>
      </c>
    </row>
    <row r="31">
      <c r="A31" t="inlineStr">
        <is>
          <t>Annual CapEx amort.</t>
        </is>
      </c>
      <c r="B31" s="12">
        <f>5*Assumptions!B3/Assumptions!B5</f>
        <v/>
      </c>
    </row>
    <row r="32">
      <c r="A32" t="inlineStr">
        <is>
          <t>Annual Payroll (15 people at maturity)</t>
        </is>
      </c>
      <c r="B32" s="12">
        <f>Assumptions!B65*Assumptions!B66</f>
        <v/>
      </c>
    </row>
    <row r="33">
      <c r="A33" t="inlineStr">
        <is>
          <t>Annual Overhead</t>
        </is>
      </c>
      <c r="B33" s="12">
        <f>Assumptions!B71</f>
        <v/>
      </c>
    </row>
    <row r="34">
      <c r="A34" t="inlineStr">
        <is>
          <t>Platform Operations (AWS)</t>
        </is>
      </c>
      <c r="B34" s="12">
        <f>Assumptions!B59*12</f>
        <v/>
      </c>
    </row>
    <row r="35">
      <c r="A35" t="inlineStr">
        <is>
          <t>Annual Fixed Cost (~$1,054K at maturity)</t>
        </is>
      </c>
      <c r="B35" s="12">
        <f>B30+B31+B32+B33+B34</f>
        <v/>
      </c>
    </row>
    <row r="36">
      <c r="A36" t="inlineStr">
        <is>
          <t>Annual Data Volume (GB)</t>
        </is>
      </c>
      <c r="B36" s="14">
        <f>5*Assumptions!B18*Assumptions!B19*365*Assumptions!B21</f>
        <v/>
      </c>
    </row>
    <row r="37">
      <c r="A37" t="inlineStr">
        <is>
          <t>Cost per GB (cents)</t>
        </is>
      </c>
      <c r="B37" s="15">
        <f>B35/B36*100</f>
        <v/>
      </c>
    </row>
    <row r="38">
      <c r="A38" t="inlineStr">
        <is>
          <t>Revenue at 40% util, $1/GB</t>
        </is>
      </c>
      <c r="B38" s="12">
        <f>B36*0.4*Assumptions!B17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6" t="inlineStr">
        <is>
          <t>5-Year P&amp;L — Realistic Scenario</t>
        </is>
      </c>
    </row>
    <row r="2">
      <c r="A2" s="17" t="inlineStr">
        <is>
          <t>Revenue: OGS-as-a-Service + partner commissions + hardware + NQM. Costs: stations + team + platform.</t>
        </is>
      </c>
    </row>
    <row r="3">
      <c r="A3" s="1" t="n"/>
      <c r="B3" s="1" t="inlineStr">
        <is>
          <t>Year 1</t>
        </is>
      </c>
      <c r="C3" s="1" t="inlineStr">
        <is>
          <t>Year 2</t>
        </is>
      </c>
      <c r="D3" s="1" t="inlineStr">
        <is>
          <t>Year 3</t>
        </is>
      </c>
      <c r="E3" s="1" t="inlineStr">
        <is>
          <t>Year 4</t>
        </is>
      </c>
      <c r="F3" s="1" t="inlineStr">
        <is>
          <t>Year 5</t>
        </is>
      </c>
    </row>
    <row r="4">
      <c r="A4" s="3" t="inlineStr">
        <is>
          <t>REVENUE</t>
        </is>
      </c>
    </row>
    <row r="5">
      <c r="A5" t="inlineStr">
        <is>
          <t xml:space="preserve">  OGS-as-a-Service</t>
        </is>
      </c>
      <c r="B5" s="12">
        <f>Assumptions!B11*Assumptions!B16</f>
        <v/>
      </c>
      <c r="C5" s="12">
        <f>Assumptions!B12*Assumptions!B16</f>
        <v/>
      </c>
      <c r="D5" s="12">
        <f>Assumptions!B13*Assumptions!B16</f>
        <v/>
      </c>
      <c r="E5" s="12">
        <f>Assumptions!B14*Assumptions!B16</f>
        <v/>
      </c>
      <c r="F5" s="12">
        <f>Assumptions!B15*Assumptions!B16</f>
        <v/>
      </c>
    </row>
    <row r="6">
      <c r="A6" t="inlineStr">
        <is>
          <t xml:space="preserve">  Hardware Sales</t>
        </is>
      </c>
      <c r="B6" s="12" t="n">
        <v>0</v>
      </c>
      <c r="C6" s="12" t="n">
        <v>0</v>
      </c>
      <c r="D6" s="12">
        <f>Assumptions!B24*Assumptions!B27</f>
        <v/>
      </c>
      <c r="E6" s="12">
        <f>Assumptions!B25*Assumptions!B27</f>
        <v/>
      </c>
      <c r="F6" s="12">
        <f>Assumptions!B26*Assumptions!B27</f>
        <v/>
      </c>
    </row>
    <row r="7">
      <c r="A7" t="inlineStr">
        <is>
          <t xml:space="preserve">  Govt/NQM Contracts</t>
        </is>
      </c>
      <c r="B7" s="12">
        <f>Assumptions!B29</f>
        <v/>
      </c>
      <c r="C7" s="12">
        <f>Assumptions!B30</f>
        <v/>
      </c>
      <c r="D7" s="12">
        <f>Assumptions!B31</f>
        <v/>
      </c>
      <c r="E7" s="12">
        <f>Assumptions!B32</f>
        <v/>
      </c>
      <c r="F7" s="12">
        <f>Assumptions!B33</f>
        <v/>
      </c>
    </row>
    <row r="8">
      <c r="A8" t="inlineStr">
        <is>
          <t xml:space="preserve">  Partner Network Commissions</t>
        </is>
      </c>
      <c r="B8" s="12">
        <f>Assumptions!B35*Assumptions!B41*Assumptions!B40*365*Assumptions!B42*Assumptions!B47</f>
        <v/>
      </c>
      <c r="C8" s="12">
        <f>Assumptions!B36*Assumptions!B41*Assumptions!B40*365*Assumptions!B43*Assumptions!B47</f>
        <v/>
      </c>
      <c r="D8" s="12">
        <f>Assumptions!B37*Assumptions!B41*Assumptions!B40*365*Assumptions!B44*Assumptions!B47</f>
        <v/>
      </c>
      <c r="E8" s="12">
        <f>Assumptions!B38*Assumptions!B41*Assumptions!B40*365*Assumptions!B45*Assumptions!B47</f>
        <v/>
      </c>
      <c r="F8" s="12">
        <f>Assumptions!B39*Assumptions!B41*Assumptions!B40*365*Assumptions!B46*Assumptions!B47</f>
        <v/>
      </c>
    </row>
    <row r="9">
      <c r="A9" t="inlineStr">
        <is>
          <t xml:space="preserve">  ZAPHOD Terminal Sales</t>
        </is>
      </c>
      <c r="B9" s="12" t="n">
        <v>0</v>
      </c>
      <c r="C9" s="12">
        <f>Assumptions!B49*Assumptions!B53</f>
        <v/>
      </c>
      <c r="D9" s="12">
        <f>Assumptions!B50*Assumptions!B53</f>
        <v/>
      </c>
      <c r="E9" s="12">
        <f>Assumptions!B51*Assumptions!B53</f>
        <v/>
      </c>
      <c r="F9" s="12">
        <f>Assumptions!B52*Assumptions!B53</f>
        <v/>
      </c>
    </row>
    <row r="10">
      <c r="A10" s="3" t="inlineStr">
        <is>
          <t xml:space="preserve">  Total Revenue</t>
        </is>
      </c>
      <c r="B10" s="12">
        <f>SUM(B5:B9)</f>
        <v/>
      </c>
      <c r="C10" s="12">
        <f>SUM(C5:C9)</f>
        <v/>
      </c>
      <c r="D10" s="12">
        <f>SUM(D5:D9)</f>
        <v/>
      </c>
      <c r="E10" s="12">
        <f>SUM(E5:E9)</f>
        <v/>
      </c>
      <c r="F10" s="12">
        <f>SUM(F5:F9)</f>
        <v/>
      </c>
    </row>
    <row r="11">
      <c r="A11" s="3" t="inlineStr">
        <is>
          <t>COSTS</t>
        </is>
      </c>
    </row>
    <row r="12">
      <c r="A12" t="inlineStr">
        <is>
          <t xml:space="preserve">  CapEx (new stations)</t>
        </is>
      </c>
      <c r="B12" s="12">
        <f>(Assumptions!B7)*Assumptions!B3</f>
        <v/>
      </c>
      <c r="C12" s="12">
        <f>(Assumptions!B8)*Assumptions!B3</f>
        <v/>
      </c>
      <c r="D12" s="12">
        <f>(Assumptions!B9)*Assumptions!B3</f>
        <v/>
      </c>
      <c r="E12" s="12">
        <f>(0)*Assumptions!B3</f>
        <v/>
      </c>
      <c r="F12" s="12">
        <f>(0)*Assumptions!B3</f>
        <v/>
      </c>
    </row>
    <row r="13">
      <c r="A13" t="inlineStr">
        <is>
          <t xml:space="preserve">  OpEx (cumulative stations)</t>
        </is>
      </c>
      <c r="B13" s="12">
        <f>(Assumptions!B7)*Assumptions!B4</f>
        <v/>
      </c>
      <c r="C13" s="12">
        <f>(Assumptions!B7+Assumptions!B8)*Assumptions!B4</f>
        <v/>
      </c>
      <c r="D13" s="12">
        <f>(Assumptions!B7+Assumptions!B8+Assumptions!B9)*Assumptions!B4</f>
        <v/>
      </c>
      <c r="E13" s="12">
        <f>(Assumptions!B7+Assumptions!B8+Assumptions!B9)*Assumptions!B4</f>
        <v/>
      </c>
      <c r="F13" s="12">
        <f>(Assumptions!B7+Assumptions!B8+Assumptions!B9)*Assumptions!B4</f>
        <v/>
      </c>
    </row>
    <row r="14">
      <c r="A14" t="inlineStr">
        <is>
          <t xml:space="preserve">  Payroll</t>
        </is>
      </c>
      <c r="B14" s="12">
        <f>Assumptions!B61*Assumptions!B66</f>
        <v/>
      </c>
      <c r="C14" s="12">
        <f>Assumptions!B62*Assumptions!B66</f>
        <v/>
      </c>
      <c r="D14" s="12">
        <f>Assumptions!B63*Assumptions!B66</f>
        <v/>
      </c>
      <c r="E14" s="12">
        <f>Assumptions!B64*Assumptions!B66</f>
        <v/>
      </c>
      <c r="F14" s="12">
        <f>Assumptions!B65*Assumptions!B66</f>
        <v/>
      </c>
    </row>
    <row r="15">
      <c r="A15" t="inlineStr">
        <is>
          <t xml:space="preserve">  Corporate Overhead</t>
        </is>
      </c>
      <c r="B15" s="12">
        <f>Assumptions!B67</f>
        <v/>
      </c>
      <c r="C15" s="12">
        <f>Assumptions!B68</f>
        <v/>
      </c>
      <c r="D15" s="12">
        <f>Assumptions!B69</f>
        <v/>
      </c>
      <c r="E15" s="12">
        <f>Assumptions!B70</f>
        <v/>
      </c>
      <c r="F15" s="12">
        <f>Assumptions!B71</f>
        <v/>
      </c>
    </row>
    <row r="16">
      <c r="A16" t="inlineStr">
        <is>
          <t xml:space="preserve">  COGS - Hardware Sales</t>
        </is>
      </c>
      <c r="B16" s="12" t="n">
        <v>0</v>
      </c>
      <c r="C16" s="12" t="n">
        <v>0</v>
      </c>
      <c r="D16" s="12">
        <f>Assumptions!B24*Assumptions!B3</f>
        <v/>
      </c>
      <c r="E16" s="12">
        <f>Assumptions!B25*Assumptions!B3</f>
        <v/>
      </c>
      <c r="F16" s="12">
        <f>Assumptions!B26*Assumptions!B3</f>
        <v/>
      </c>
    </row>
    <row r="17">
      <c r="A17" t="inlineStr">
        <is>
          <t xml:space="preserve">  Platform Operations (AWS)</t>
        </is>
      </c>
      <c r="B17" s="12">
        <f>Assumptions!B55*12</f>
        <v/>
      </c>
      <c r="C17" s="12">
        <f>Assumptions!B56*12</f>
        <v/>
      </c>
      <c r="D17" s="12">
        <f>Assumptions!B57*12</f>
        <v/>
      </c>
      <c r="E17" s="12">
        <f>Assumptions!B58*12</f>
        <v/>
      </c>
      <c r="F17" s="12">
        <f>Assumptions!B59*12</f>
        <v/>
      </c>
    </row>
    <row r="18">
      <c r="A18" s="3" t="inlineStr">
        <is>
          <t xml:space="preserve">  Total Costs</t>
        </is>
      </c>
      <c r="B18" s="12">
        <f>SUM(B12:B17)</f>
        <v/>
      </c>
      <c r="C18" s="12">
        <f>SUM(C12:C17)</f>
        <v/>
      </c>
      <c r="D18" s="12">
        <f>SUM(D12:D17)</f>
        <v/>
      </c>
      <c r="E18" s="12">
        <f>SUM(E12:E17)</f>
        <v/>
      </c>
      <c r="F18" s="12">
        <f>SUM(F12:F17)</f>
        <v/>
      </c>
    </row>
    <row r="20">
      <c r="A20" s="3" t="inlineStr">
        <is>
          <t>EBITDA (Revenue - Costs)</t>
        </is>
      </c>
      <c r="B20" s="18">
        <f>B10-B18</f>
        <v/>
      </c>
      <c r="C20" s="18">
        <f>C10-C18</f>
        <v/>
      </c>
      <c r="D20" s="18">
        <f>D10-D18</f>
        <v/>
      </c>
      <c r="E20" s="18">
        <f>E10-E18</f>
        <v/>
      </c>
      <c r="F20" s="18">
        <f>F10-F18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Annual OGS Revenue ($K) — Sensitivity: Customers × ARPU</t>
        </is>
      </c>
    </row>
    <row r="2">
      <c r="A2" s="17" t="inlineStr">
        <is>
          <t>Rows = number of paying customers. Columns = annual revenue per customer ($K).</t>
        </is>
      </c>
    </row>
    <row r="3">
      <c r="A3" s="19" t="inlineStr">
        <is>
          <t>Fixed costs ~$1,054K/yr at 5-station maturity. Green = revenue &gt; $1,054K.</t>
        </is>
      </c>
    </row>
    <row r="5">
      <c r="A5" s="1" t="inlineStr">
        <is>
          <t>Customers \ ARPU ($K)</t>
        </is>
      </c>
      <c r="B5" s="20" t="n">
        <v>25</v>
      </c>
      <c r="C5" s="20" t="n">
        <v>50</v>
      </c>
      <c r="D5" s="20" t="n">
        <v>75</v>
      </c>
      <c r="E5" s="20" t="n">
        <v>100</v>
      </c>
      <c r="F5" s="20" t="n">
        <v>150</v>
      </c>
      <c r="G5" s="20" t="n">
        <v>200</v>
      </c>
    </row>
    <row r="6">
      <c r="A6" s="3" t="n">
        <v>0</v>
      </c>
      <c r="B6" s="21" t="n">
        <v>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</row>
    <row r="7">
      <c r="A7" s="3" t="n">
        <v>1</v>
      </c>
      <c r="B7" s="21" t="n">
        <v>25</v>
      </c>
      <c r="C7" s="21" t="n">
        <v>50</v>
      </c>
      <c r="D7" s="21" t="n">
        <v>75</v>
      </c>
      <c r="E7" s="21" t="n">
        <v>100</v>
      </c>
      <c r="F7" s="21" t="n">
        <v>150</v>
      </c>
      <c r="G7" s="21" t="n">
        <v>200</v>
      </c>
    </row>
    <row r="8">
      <c r="A8" s="3" t="n">
        <v>3</v>
      </c>
      <c r="B8" s="21" t="n">
        <v>75</v>
      </c>
      <c r="C8" s="21" t="n">
        <v>150</v>
      </c>
      <c r="D8" s="21" t="n">
        <v>225</v>
      </c>
      <c r="E8" s="21" t="n">
        <v>300</v>
      </c>
      <c r="F8" s="21" t="n">
        <v>450</v>
      </c>
      <c r="G8" s="21" t="n">
        <v>600</v>
      </c>
    </row>
    <row r="9">
      <c r="A9" s="3" t="n">
        <v>5</v>
      </c>
      <c r="B9" s="21" t="n">
        <v>125</v>
      </c>
      <c r="C9" s="21" t="n">
        <v>250</v>
      </c>
      <c r="D9" s="21" t="n">
        <v>375</v>
      </c>
      <c r="E9" s="21" t="n">
        <v>500</v>
      </c>
      <c r="F9" s="21" t="n">
        <v>750</v>
      </c>
      <c r="G9" s="21" t="n">
        <v>1000</v>
      </c>
    </row>
    <row r="10">
      <c r="A10" s="3" t="n">
        <v>8</v>
      </c>
      <c r="B10" s="21" t="n">
        <v>200</v>
      </c>
      <c r="C10" s="21" t="n">
        <v>400</v>
      </c>
      <c r="D10" s="21" t="n">
        <v>600</v>
      </c>
      <c r="E10" s="21" t="n">
        <v>800</v>
      </c>
      <c r="F10" s="21" t="n">
        <v>1200</v>
      </c>
      <c r="G10" s="21" t="n">
        <v>1600</v>
      </c>
    </row>
    <row r="11">
      <c r="A11" s="3" t="n">
        <v>12</v>
      </c>
      <c r="B11" s="21" t="n">
        <v>300</v>
      </c>
      <c r="C11" s="21" t="n">
        <v>600</v>
      </c>
      <c r="D11" s="21" t="n">
        <v>900</v>
      </c>
      <c r="E11" s="21" t="n">
        <v>1200</v>
      </c>
      <c r="F11" s="21" t="n">
        <v>1800</v>
      </c>
      <c r="G11" s="21" t="n">
        <v>2400</v>
      </c>
    </row>
    <row r="12">
      <c r="A12" s="3" t="n">
        <v>15</v>
      </c>
      <c r="B12" s="21" t="n">
        <v>375</v>
      </c>
      <c r="C12" s="21" t="n">
        <v>750</v>
      </c>
      <c r="D12" s="21" t="n">
        <v>1125</v>
      </c>
      <c r="E12" s="21" t="n">
        <v>1500</v>
      </c>
      <c r="F12" s="21" t="n">
        <v>2250</v>
      </c>
      <c r="G12" s="21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</cols>
  <sheetData>
    <row r="1">
      <c r="A1" s="16" t="inlineStr">
        <is>
          <t>Investor Summary — Key Metrics</t>
        </is>
      </c>
    </row>
    <row r="2">
      <c r="A2" s="22" t="inlineStr">
        <is>
          <t>All values auto-calculated from Assumptions tab</t>
        </is>
      </c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Notes</t>
        </is>
      </c>
    </row>
    <row r="4">
      <c r="A4" s="3" t="inlineStr">
        <is>
          <t>MARKET OPPORTUNITY</t>
        </is>
      </c>
      <c r="C4" t="inlineStr"/>
    </row>
    <row r="5">
      <c r="A5" t="inlineStr">
        <is>
          <t xml:space="preserve">  TAM (GSaaS market, 2030)</t>
        </is>
      </c>
      <c r="B5" s="23" t="inlineStr">
        <is>
          <t>$14.2B</t>
        </is>
      </c>
      <c r="C5" t="inlineStr">
        <is>
          <t>Dataintelo: $3.8B-&gt;$14.2B (CAGR 15.8%)</t>
        </is>
      </c>
    </row>
    <row r="6">
      <c r="A6" t="inlineStr">
        <is>
          <t xml:space="preserve">  Serviceable Market (Optical GSaaS)</t>
        </is>
      </c>
      <c r="B6" s="23" t="inlineStr">
        <is>
          <t>~$200-500M by 2030</t>
        </is>
      </c>
      <c r="C6" t="inlineStr">
        <is>
          <t>Optical subset of GSaaS, early stage</t>
        </is>
      </c>
    </row>
    <row r="7">
      <c r="A7" t="inlineStr"/>
      <c r="B7" s="23" t="inlineStr"/>
      <c r="C7" t="inlineStr"/>
    </row>
    <row r="8">
      <c r="A8" s="3" t="inlineStr">
        <is>
          <t>FINANCIAL PERFORMANCE</t>
        </is>
      </c>
      <c r="C8" t="inlineStr"/>
    </row>
    <row r="9">
      <c r="A9" t="inlineStr">
        <is>
          <t xml:space="preserve">  Year 3 OGS Revenue</t>
        </is>
      </c>
      <c r="B9" s="12">
        <f>'5-Year P&amp;L'!C5</f>
        <v/>
      </c>
      <c r="C9" t="inlineStr">
        <is>
          <t>From P&amp;L tab — 3 customers × $150K ARPU</t>
        </is>
      </c>
    </row>
    <row r="10">
      <c r="A10" t="inlineStr">
        <is>
          <t xml:space="preserve">  Year 5 OGS Revenue</t>
        </is>
      </c>
      <c r="B10" s="12">
        <f>'5-Year P&amp;L'!F5</f>
        <v/>
      </c>
      <c r="C10" t="inlineStr">
        <is>
          <t>From P&amp;L tab — 8 customers × $150K ARPU</t>
        </is>
      </c>
    </row>
    <row r="11">
      <c r="A11" t="inlineStr">
        <is>
          <t xml:space="preserve">  Year 5 Total Revenue</t>
        </is>
      </c>
      <c r="B11" s="12">
        <f>'5-Year P&amp;L'!F10</f>
        <v/>
      </c>
      <c r="C11" t="inlineStr">
        <is>
          <t>OGS + partner commissions + HW + NQM + ZAPHOD</t>
        </is>
      </c>
    </row>
    <row r="12">
      <c r="A12" t="inlineStr">
        <is>
          <t xml:space="preserve">  Year 5 EBITDA</t>
        </is>
      </c>
      <c r="B12" s="12">
        <f>'5-Year P&amp;L'!F20</f>
        <v/>
      </c>
      <c r="C12" t="inlineStr">
        <is>
          <t>Revenue minus costs</t>
        </is>
      </c>
    </row>
    <row r="13">
      <c r="A13" t="inlineStr">
        <is>
          <t xml:space="preserve">  Year 5 EBITDA Margin</t>
        </is>
      </c>
      <c r="B13" s="9">
        <f>'5-Year P&amp;L'!F20/'5-Year P&amp;L'!F10</f>
        <v/>
      </c>
      <c r="C13" t="inlineStr">
        <is>
          <t>EBITDA / Total Revenue</t>
        </is>
      </c>
    </row>
    <row r="14">
      <c r="A14" t="inlineStr"/>
      <c r="B14" s="23" t="inlineStr"/>
      <c r="C14" t="inlineStr"/>
    </row>
    <row r="15">
      <c r="A15" s="3" t="inlineStr">
        <is>
          <t>CASH &amp; RUNWAY</t>
        </is>
      </c>
      <c r="C15" t="inlineStr"/>
    </row>
    <row r="16">
      <c r="A16" t="inlineStr">
        <is>
          <t xml:space="preserve">  Seed Round</t>
        </is>
      </c>
      <c r="B16" s="12" t="n">
        <v>1000000</v>
      </c>
      <c r="C16" t="inlineStr">
        <is>
          <t>Per interview document</t>
        </is>
      </c>
    </row>
    <row r="17">
      <c r="A17" t="inlineStr">
        <is>
          <t xml:space="preserve">  Monthly Burn (Y1 est.)</t>
        </is>
      </c>
      <c r="B17" s="12" t="n">
        <v>150000</v>
      </c>
      <c r="C17" t="inlineStr">
        <is>
          <t>$120K salaries + $30K OpEx</t>
        </is>
      </c>
    </row>
    <row r="18">
      <c r="A18" t="inlineStr">
        <is>
          <t xml:space="preserve">  Est. Runway (months)</t>
        </is>
      </c>
      <c r="B18" s="14">
        <f>B16/B17</f>
        <v/>
      </c>
      <c r="C18" t="inlineStr">
        <is>
          <t>Seed / Monthly Burn. $150K/mo is top-down total cash spend incl. one-time setup + buffer</t>
        </is>
      </c>
    </row>
    <row r="19">
      <c r="A19" t="inlineStr"/>
      <c r="B19" s="23" t="inlineStr"/>
      <c r="C19" t="inlineStr"/>
    </row>
    <row r="20">
      <c r="A20" s="3" t="inlineStr">
        <is>
          <t>FUNDRAISING</t>
        </is>
      </c>
      <c r="C20" t="inlineStr"/>
    </row>
    <row r="21">
      <c r="A21" t="inlineStr">
        <is>
          <t xml:space="preserve">  Target Series A Raise</t>
        </is>
      </c>
      <c r="B21" s="23" t="inlineStr">
        <is>
          <t>$4-6M</t>
        </is>
      </c>
      <c r="C21" t="inlineStr">
        <is>
          <t>Range based on comparable seed-&gt;A multiples</t>
        </is>
      </c>
    </row>
    <row r="22">
      <c r="A22" t="inlineStr">
        <is>
          <t xml:space="preserve">  Est. Pre-Money Valuation</t>
        </is>
      </c>
      <c r="B22" s="23" t="inlineStr">
        <is>
          <t>$15-25M</t>
        </is>
      </c>
      <c r="C22" t="inlineStr">
        <is>
          <t>Discounted for seed-stage; KSAT at ~$150M rev</t>
        </is>
      </c>
    </row>
    <row r="23">
      <c r="A23" t="inlineStr">
        <is>
          <t xml:space="preserve">  Est. Post-Money</t>
        </is>
      </c>
      <c r="B23" s="23" t="inlineStr">
        <is>
          <t>$19-31M</t>
        </is>
      </c>
      <c r="C23" t="inlineStr">
        <is>
          <t>Pre + Raise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2026-05-26T16:16:45Z</dcterms:created>
  <dcterms:modified xsi:type="dcterms:W3CDTF">2026-05-26T16:16:45Z</dcterms:modified>
</cp:coreProperties>
</file>